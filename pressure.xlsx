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ediheimlicher/Documents/Elektronik/RC_nRF/RC_nRF_Teensy_payload/"/>
    </mc:Choice>
  </mc:AlternateContent>
  <xr:revisionPtr revIDLastSave="0" documentId="13_ncr:1_{4B35CBA6-3B2E-1043-80E0-B0D70178E815}" xr6:coauthVersionLast="47" xr6:coauthVersionMax="47" xr10:uidLastSave="{00000000-0000-0000-0000-000000000000}"/>
  <bookViews>
    <workbookView xWindow="1000" yWindow="920" windowWidth="28240" windowHeight="17240" xr2:uid="{51C025AC-6C7F-8E46-8E43-A2CF8B9C11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B2" i="1"/>
  <c r="F2" i="1" s="1"/>
  <c r="E11" i="1"/>
  <c r="E12" i="1"/>
  <c r="E10" i="1"/>
  <c r="C11" i="1"/>
  <c r="C12" i="1"/>
  <c r="C10" i="1"/>
  <c r="I2" i="1" l="1"/>
</calcChain>
</file>

<file path=xl/sharedStrings.xml><?xml version="1.0" encoding="utf-8"?>
<sst xmlns="http://schemas.openxmlformats.org/spreadsheetml/2006/main" count="6" uniqueCount="6">
  <si>
    <t>press</t>
  </si>
  <si>
    <t>temp</t>
  </si>
  <si>
    <t>u</t>
  </si>
  <si>
    <t>sealevel</t>
  </si>
  <si>
    <t>quot</t>
  </si>
  <si>
    <t>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</si>
</sst>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Tabelle1!$A$10:$A$12</c:f>
              <c:numCache>
                <c:formatCode>General</c:formatCode>
                <c:ptCount val="3"/>
                <c:pt idx="0">
                  <c:v>6.4</c:v>
                </c:pt>
                <c:pt idx="1">
                  <c:v>7.4</c:v>
                </c:pt>
                <c:pt idx="2">
                  <c:v>8.4</c:v>
                </c:pt>
              </c:numCache>
            </c:numRef>
          </c:xVal>
          <c:yVal>
            <c:numRef>
              <c:f>Tabelle1!$B$10:$B$12</c:f>
              <c:numCache>
                <c:formatCode>General</c:formatCode>
                <c:ptCount val="3"/>
                <c:pt idx="0">
                  <c:v>94</c:v>
                </c:pt>
                <c:pt idx="1">
                  <c:v>170</c:v>
                </c:pt>
                <c:pt idx="2">
                  <c:v>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3C-A648-8DB1-72927E3C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96703"/>
        <c:axId val="1401707327"/>
      </c:scatterChart>
      <c:valAx>
        <c:axId val="140129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1707327"/>
        <c:crosses val="autoZero"/>
        <c:crossBetween val="midCat"/>
      </c:valAx>
      <c:valAx>
        <c:axId val="140170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129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Tabelle1!$C$9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Tabelle1!$B$10:$B$12</c:f>
              <c:numCache>
                <c:formatCode>General</c:formatCode>
                <c:ptCount val="3"/>
                <c:pt idx="0">
                  <c:v>94</c:v>
                </c:pt>
                <c:pt idx="1">
                  <c:v>170</c:v>
                </c:pt>
                <c:pt idx="2">
                  <c:v>242</c:v>
                </c:pt>
              </c:numCache>
            </c:numRef>
          </c:xVal>
          <c:yVal>
            <c:numRef>
              <c:f>Tabelle1!$C$10:$C$12</c:f>
              <c:numCache>
                <c:formatCode>General</c:formatCode>
                <c:ptCount val="3"/>
                <c:pt idx="0">
                  <c:v>6.4</c:v>
                </c:pt>
                <c:pt idx="1">
                  <c:v>7.4</c:v>
                </c:pt>
                <c:pt idx="2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19-F041-A692-645DDA35D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268431"/>
        <c:axId val="1615270703"/>
      </c:scatterChart>
      <c:valAx>
        <c:axId val="161526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5270703"/>
        <c:crosses val="autoZero"/>
        <c:crossBetween val="midCat"/>
      </c:valAx>
      <c:valAx>
        <c:axId val="16152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526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660400</xdr:colOff>
      <xdr:row>10</xdr:row>
      <xdr:rowOff>76200</xdr:rowOff>
    </xdr:from>
    <xdr:to>
      <xdr:col>13</xdr:col>
      <xdr:colOff>279400</xdr:colOff>
      <xdr:row>23</xdr:row>
      <xdr:rowOff>177800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45890DB-F978-5D2F-DECB-C376AC679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800100</xdr:colOff>
      <xdr:row>18</xdr:row>
      <xdr:rowOff>25400</xdr:rowOff>
    </xdr:from>
    <xdr:to>
      <xdr:col>6</xdr:col>
      <xdr:colOff>419100</xdr:colOff>
      <xdr:row>31</xdr:row>
      <xdr:rowOff>127000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B0D46B5-0699-DF7D-AA89-6D066FE39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E235-0E34-0F4F-BA04-4067C858FF9F}">
  <dimension ref="A1:N12"/>
  <sheetViews>
    <sheetView tabSelected="1" workbookViewId="0">
      <selection activeCell="K6" sqref="K6"/>
    </sheetView>
  </sheetViews>
  <sheetFormatPr baseColWidth="10" defaultRowHeight="16" x14ac:dyDescent="0.2"/>
  <sheetData>
    <row r="1" spans="1:14" x14ac:dyDescent="0.2">
      <c r="A1" t="s">
        <v>0</v>
      </c>
      <c r="C1" t="s">
        <v>1</v>
      </c>
      <c r="F1" t="s">
        <v>4</v>
      </c>
      <c r="G1" t="s">
        <v>5</v>
      </c>
      <c r="M1" t="s">
        <v>3</v>
      </c>
      <c r="N1">
        <v>1013.25</v>
      </c>
    </row>
    <row r="2" spans="1:14" x14ac:dyDescent="0.2">
      <c r="A2">
        <v>9537</v>
      </c>
      <c r="B2">
        <f>A2/10</f>
        <v>953.7</v>
      </c>
      <c r="D2">
        <v>23</v>
      </c>
      <c r="F2">
        <f>N1/B2</f>
        <v>1.0624410191884239</v>
      </c>
      <c r="G2">
        <f>POWER(F2,(1/5.257))</f>
        <v>1.0115882403869336</v>
      </c>
      <c r="H2">
        <f>(G2-1)*(D2+273.15)</f>
        <v>3.4318573905903924</v>
      </c>
      <c r="I2">
        <f>H2/0.65</f>
        <v>5.2797806009082962</v>
      </c>
    </row>
    <row r="9" spans="1:14" x14ac:dyDescent="0.2">
      <c r="C9" t="s">
        <v>2</v>
      </c>
    </row>
    <row r="10" spans="1:14" x14ac:dyDescent="0.2">
      <c r="A10">
        <v>6.4</v>
      </c>
      <c r="B10">
        <v>94</v>
      </c>
      <c r="C10">
        <f>A10</f>
        <v>6.4</v>
      </c>
      <c r="E10">
        <f>0.0135*B10+5.12</f>
        <v>6.3890000000000002</v>
      </c>
    </row>
    <row r="11" spans="1:14" x14ac:dyDescent="0.2">
      <c r="A11">
        <v>7.4</v>
      </c>
      <c r="B11">
        <v>170</v>
      </c>
      <c r="C11">
        <f t="shared" ref="C11:C12" si="0">A11</f>
        <v>7.4</v>
      </c>
      <c r="E11">
        <f t="shared" ref="E11:E12" si="1">0.0135*B11+5.12</f>
        <v>7.415</v>
      </c>
    </row>
    <row r="12" spans="1:14" x14ac:dyDescent="0.2">
      <c r="A12">
        <v>8.4</v>
      </c>
      <c r="B12">
        <v>242</v>
      </c>
      <c r="C12">
        <f t="shared" si="0"/>
        <v>8.4</v>
      </c>
      <c r="E12">
        <f t="shared" si="1"/>
        <v>8.3870000000000005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Ruedi Heimlicher</dc:creator>
  <cp:lastModifiedBy>Ruedi Heimlicher</cp:lastModifiedBy>
  <dcterms:created xsi:type="dcterms:W3CDTF">2025-12-11T13:12:36Z</dcterms:created>
  <dcterms:modified xsi:type="dcterms:W3CDTF">2025-12-15T14:12:18Z</dcterms:modified>
</cp:coreProperties>
</file>